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14156b2ab742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 List" sheetId="1" r:id="Rac69491905f04a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0.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48235"/>
      </x:patternFill>
    </x:fill>
    <x:fill>
      <x:patternFill patternType="solid">
        <x:fgColor rgb="FFE2F0D9"/>
      </x:patternFill>
    </x:fill>
  </x:fills>
  <x:borders count="10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left style="thin">
        <x:color rgb="FFA9D18E"/>
      </x:left>
      <x:top style="thin">
        <x:color rgb="FFA9D18E"/>
      </x:top>
    </x:border>
    <x:border>
      <x:right style="thin">
        <x:color rgb="FFA9D18E"/>
      </x:right>
      <x:top style="thin">
        <x:color rgb="FFA9D18E"/>
      </x:top>
    </x:border>
    <x:border>
      <x:left style="thin">
        <x:color rgb="FFA9D18E"/>
      </x:left>
    </x:border>
    <x:border>
      <x:right style="thin">
        <x:color rgb="FFA9D18E"/>
      </x:right>
    </x:border>
    <x:border>
      <x:left style="thin">
        <x:color rgb="FFA9D18E"/>
      </x:left>
      <x:bottom style="thin">
        <x:color rgb="FFA9D18E"/>
      </x:bottom>
    </x:border>
    <x:border>
      <x:right style="thin">
        <x:color rgb="FFA9D18E"/>
      </x:right>
      <x:bottom style="thin">
        <x:color rgb="FFA9D18E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4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200" fontId="0" fillId="6" borderId="5" xfId="0" applyNumberFormat="1" applyFont="1" applyFill="1" applyBorder="1"/>
    <x:xf numFmtId="200" fontId="0" fillId="6" borderId="7" xfId="0" applyNumberFormat="1" applyFont="1" applyFill="1" applyBorder="1"/>
    <x:xf numFmtId="200" fontId="0" fillId="6" borderId="9" xfId="0" applyNumberFormat="1" applyFont="1" applyFill="1" applyBorder="1"/>
  </x:cellXfs>
  <x:cellStyles count="1">
    <x:cellStyle name="Normal" xfId="0"/>
  </x:cellStyles>
  <x:dxfs count="3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843C0C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685a0127724473" /><Relationship Type="http://schemas.openxmlformats.org/officeDocument/2006/relationships/theme" Target="/xl/theme/theme1.xml" Id="R8acc3040dbcc4d7a" /><Relationship Type="http://schemas.openxmlformats.org/officeDocument/2006/relationships/sharedStrings" Target="/xl/sharedStrings.xml" Id="R45f3fb0a640d4332" /><Relationship Type="http://schemas.openxmlformats.org/officeDocument/2006/relationships/worksheet" Target="/xl/worksheets/sheet1.xml" Id="Rac69491905f04a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0" hidden="0" customWidth="1"/>
    <x:col min="3" max="3" width="18" hidden="0" customWidth="1"/>
    <x:col min="4" max="4" width="25" hidden="0" customWidth="1"/>
    <x:col min="5" max="5" width="38" hidden="0" customWidth="1"/>
    <x:col min="6" max="6" width="8" hidden="0" customWidth="1"/>
    <x:col min="7" max="7" width="14" hidden="0" customWidth="1"/>
    <x:col min="8" max="8" width="52" hidden="0" customWidth="1"/>
    <x:col min="9" max="9" width="20" hidden="0" customWidth="1"/>
    <x:col min="10" max="10" width="48" hidden="0" customWidth="1"/>
    <x:col min="12" max="12" width="31" hidden="0" customWidth="1"/>
    <x:col min="13" max="13" width="18" hidden="0" customWidth="1"/>
  </x:cols>
  <x:sheetData>
    <x:row r="1" ht="30" customHeight="1">
      <x:c r="A1" s="4" t="str">
        <x:v>Configurable AFE — linked procurement list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7" t="str">
        <x:v>Planning prices checked 2026-08-29; tax/shipping excluded; no item is marked ordered or received.</x:v>
      </x:c>
      <x:c r="B2" s="7"/>
      <x:c r="C2" s="7"/>
      <x:c r="D2" s="7"/>
      <x:c r="E2" s="7"/>
      <x:c r="F2" s="7"/>
      <x:c r="G2" s="7"/>
      <x:c r="H2" s="7"/>
      <x:c r="I2" s="7"/>
      <x:c r="J2" s="7"/>
      <x:c r="L2" s="25" t="str">
        <x:v>Budget summary</x:v>
      </x:c>
      <x:c r="M2" s="25" t="str">
        <x:v>USD</x:v>
      </x:c>
    </x:row>
    <x:row r="3">
      <x:c r="L3" s="27" t="str">
        <x:v>Layer A</x:v>
      </x:c>
      <x:c r="M3" s="33" t="n">
        <x:f>SUMIF($A$5:$A$33,"A",$G$5:$G$33)</x:f>
        <x:v>85.85000000000002</x:v>
      </x:c>
    </x:row>
    <x:row r="4" ht="32" customHeight="1">
      <x:c r="A4" s="11" t="str">
        <x:v>Layer</x:v>
      </x:c>
      <x:c r="B4" s="11" t="str">
        <x:v>Order status</x:v>
      </x:c>
      <x:c r="C4" s="11" t="str">
        <x:v>Merchant</x:v>
      </x:c>
      <x:c r="D4" s="11" t="str">
        <x:v>Item</x:v>
      </x:c>
      <x:c r="E4" s="11" t="str">
        <x:v>Part / specification</x:v>
      </x:c>
      <x:c r="F4" s="11" t="str">
        <x:v>Qty</x:v>
      </x:c>
      <x:c r="G4" s="11" t="str">
        <x:v>Planned USD</x:v>
      </x:c>
      <x:c r="H4" s="11" t="str">
        <x:v>Purchase URL</x:v>
      </x:c>
      <x:c r="I4" s="11" t="str">
        <x:v>Link status</x:v>
      </x:c>
      <x:c r="J4" s="11" t="str">
        <x:v>Reason / checkout check</x:v>
      </x:c>
      <x:c r="L4" s="29" t="str">
        <x:v>Layer B</x:v>
      </x:c>
      <x:c r="M4" s="34" t="n">
        <x:f>SUMIF($A$5:$A$33,"B",$G$5:$G$33)</x:f>
        <x:v>20.4</x:v>
      </x:c>
    </x:row>
    <x:row r="5">
      <x:c r="A5" s="18" t="str">
        <x:v>A</x:v>
      </x:c>
      <x:c r="B5" s="18" t="str">
        <x:v>BUY_NOW</x:v>
      </x:c>
      <x:c r="C5" s="18" t="str">
        <x:v>Mouser</x:v>
      </x:c>
      <x:c r="D5" s="18" t="str">
        <x:v>Quad op amp</x:v>
      </x:c>
      <x:c r="E5" s="18" t="str">
        <x:v>MCP6004-I/P PDIP-14</x:v>
      </x:c>
      <x:c r="F5" s="18" t="n">
        <x:v>3</x:v>
      </x:c>
      <x:c r="G5" s="21" t="n">
        <x:v>1.77</x:v>
      </x:c>
      <x:c r="H5" s="18" t="str">
        <x:v>https://www.mouser.com/ProductDetail/Microchip-Technology/MCP6004-I-P</x:v>
      </x:c>
      <x:c r="I5" s="18" t="str">
        <x:v>DIRECT</x:v>
      </x:c>
      <x:c r="J5" s="18" t="str">
        <x:v>Two working plus one spare</x:v>
      </x:c>
      <x:c r="L5" s="29" t="str">
        <x:v>Layer C</x:v>
      </x:c>
      <x:c r="M5" s="34" t="n">
        <x:f>SUMIF($A$5:$A$33,"C",$G$5:$G$33)</x:f>
        <x:v>23.08</x:v>
      </x:c>
    </x:row>
    <x:row r="6">
      <x:c r="A6" s="19" t="str">
        <x:v>A</x:v>
      </x:c>
      <x:c r="B6" s="19" t="str">
        <x:v>BUY_NOW</x:v>
      </x:c>
      <x:c r="C6" s="19" t="str">
        <x:v>Mouser</x:v>
      </x:c>
      <x:c r="D6" s="19" t="str">
        <x:v>Quad comparator</x:v>
      </x:c>
      <x:c r="E6" s="19" t="str">
        <x:v>MCP6544-I/P PDIP-14 push-pull</x:v>
      </x:c>
      <x:c r="F6" s="19" t="n">
        <x:v>2</x:v>
      </x:c>
      <x:c r="G6" s="22" t="n">
        <x:v>2.86</x:v>
      </x:c>
      <x:c r="H6" s="19" t="str">
        <x:v>https://www.mouser.com/ProductDetail/Microchip-Technology/MCP6544-I-P</x:v>
      </x:c>
      <x:c r="I6" s="19" t="str">
        <x:v>DIRECT</x:v>
      </x:c>
      <x:c r="J6" s="19" t="str">
        <x:v>Verify I/P and push-pull</x:v>
      </x:c>
      <x:c r="L6" s="29" t="str">
        <x:v>Buy now (status)</x:v>
      </x:c>
      <x:c r="M6" s="34" t="n">
        <x:f>SUMIF($B$5:$B$33,"BUY_NOW",$G$5:$G$33)</x:f>
        <x:v>106.25000000000003</x:v>
      </x:c>
    </x:row>
    <x:row r="7">
      <x:c r="A7" s="19" t="str">
        <x:v>A</x:v>
      </x:c>
      <x:c r="B7" s="19" t="str">
        <x:v>BUY_NOW</x:v>
      </x:c>
      <x:c r="C7" s="19" t="str">
        <x:v>Mouser</x:v>
      </x:c>
      <x:c r="D7" s="19" t="str">
        <x:v>14-pin DIP socket</x:v>
      </x:c>
      <x:c r="E7" s="19" t="str">
        <x:v>3M 4814-3004-CP; 0.3-inch THT</x:v>
      </x:c>
      <x:c r="F7" s="19" t="n">
        <x:v>5</x:v>
      </x:c>
      <x:c r="G7" s="22" t="n">
        <x:v>3.2</x:v>
      </x:c>
      <x:c r="H7" s="19" t="str">
        <x:v>https://www.mouser.com/ProductDetail/3M-Electronic-Solutions-Division/4814-3004-CP</x:v>
      </x:c>
      <x:c r="I7" s="19" t="str">
        <x:v>DIRECT</x:v>
      </x:c>
      <x:c r="J7" s="19" t="str">
        <x:v>Do not substitute 16-pin socket</x:v>
      </x:c>
      <x:c r="L7" s="29" t="str">
        <x:v>A+B+C total</x:v>
      </x:c>
      <x:c r="M7" s="34" t="n">
        <x:f>SUM(M3:M5)</x:f>
        <x:v>129.33000000000004</x:v>
      </x:c>
    </x:row>
    <x:row r="8">
      <x:c r="A8" s="19" t="str">
        <x:v>A</x:v>
      </x:c>
      <x:c r="B8" s="19" t="str">
        <x:v>BUY_NOW</x:v>
      </x:c>
      <x:c r="C8" s="19" t="str">
        <x:v>Adafruit</x:v>
      </x:c>
      <x:c r="D8" s="19" t="str">
        <x:v>10 kOhm breadboard trim potentiometer</x:v>
      </x:c>
      <x:c r="E8" s="19" t="str">
        <x:v>Adafruit 356</x:v>
      </x:c>
      <x:c r="F8" s="19" t="n">
        <x:v>4</x:v>
      </x:c>
      <x:c r="G8" s="22" t="n">
        <x:v>5</x:v>
      </x:c>
      <x:c r="H8" s="19" t="str">
        <x:v>https://www.adafruit.com/product/356</x:v>
      </x:c>
      <x:c r="I8" s="19" t="str">
        <x:v>DIRECT / IN STOCK</x:v>
      </x:c>
      <x:c r="J8" s="19" t="str">
        <x:v>Current in-stock choice; panel control is a later mechanical decision</x:v>
      </x:c>
      <x:c r="L8" s="29" t="str">
        <x:v>Budget ceiling</x:v>
      </x:c>
      <x:c r="M8" s="34" t="n">
        <x:v>200</x:v>
      </x:c>
    </x:row>
    <x:row r="9">
      <x:c r="A9" s="19" t="str">
        <x:v>A</x:v>
      </x:c>
      <x:c r="B9" s="19" t="str">
        <x:v>BUY_NOW</x:v>
      </x:c>
      <x:c r="C9" s="19" t="str">
        <x:v>Mouser</x:v>
      </x:c>
      <x:c r="D9" s="19" t="str">
        <x:v>4-position DIP switch</x:v>
      </x:c>
      <x:c r="E9" s="19" t="str">
        <x:v>DS01C-254-S-04BE; 2.54 mm THT</x:v>
      </x:c>
      <x:c r="F9" s="19" t="n">
        <x:v>3</x:v>
      </x:c>
      <x:c r="G9" s="22" t="n">
        <x:v>2.22</x:v>
      </x:c>
      <x:c r="H9" s="19" t="str">
        <x:v>https://www.mouser.com/c/?q=DS01C-254-S-04BE</x:v>
      </x:c>
      <x:c r="I9" s="19" t="str">
        <x:v>SEARCH / VERIFY</x:v>
      </x:c>
      <x:c r="J9" s="19" t="str">
        <x:v>Small-signal configuration only</x:v>
      </x:c>
      <x:c r="L9" s="31" t="str">
        <x:v>Reserve before tax/shipping</x:v>
      </x:c>
      <x:c r="M9" s="35" t="n">
        <x:f>M8-M7</x:f>
        <x:v>70.66999999999996</x:v>
      </x:c>
    </x:row>
    <x:row r="10">
      <x:c r="A10" s="19" t="str">
        <x:v>A</x:v>
      </x:c>
      <x:c r="B10" s="19" t="str">
        <x:v>BUY_NOW</x:v>
      </x:c>
      <x:c r="C10" s="19" t="str">
        <x:v>Mouser</x:v>
      </x:c>
      <x:c r="D10" s="19" t="str">
        <x:v>1% precision resistor set</x:v>
      </x:c>
      <x:c r="E10" s="19" t="str">
        <x:v>Yageo MFR-25FBF52 series; 13 values; 10 each</x:v>
      </x:c>
      <x:c r="F10" s="19" t="n">
        <x:v>1</x:v>
      </x:c>
      <x:c r="G10" s="22" t="n">
        <x:v>14</x:v>
      </x:c>
      <x:c r="H10" s="19" t="str">
        <x:v>https://www.mouser.com/c/passive-components/resistors/through-hole-resistors/?m=YAGEO&amp;series=MFR&amp;tolerance=1%20%25</x:v>
      </x:c>
      <x:c r="I10" s="19" t="str">
        <x:v>FILTER / VERIFY VALUES</x:v>
      </x:c>
      <x:c r="J10" s="19" t="str">
        <x:v>100R;330R;1K;2K2;4K7;10K;16K;22K;40K2;47K;90K9;100K;1M</x:v>
      </x:c>
    </x:row>
    <x:row r="11">
      <x:c r="A11" s="19" t="str">
        <x:v>A</x:v>
      </x:c>
      <x:c r="B11" s="19" t="str">
        <x:v>BUY_NOW</x:v>
      </x:c>
      <x:c r="C11" s="19" t="str">
        <x:v>Mouser</x:v>
      </x:c>
      <x:c r="D11" s="19" t="str">
        <x:v>Signal clamp Schottky diode</x:v>
      </x:c>
      <x:c r="E11" s="19" t="str">
        <x:v>BAT41-TAP DO-35</x:v>
      </x:c>
      <x:c r="F11" s="19" t="n">
        <x:v>10</x:v>
      </x:c>
      <x:c r="G11" s="22" t="n">
        <x:v>3.2</x:v>
      </x:c>
      <x:c r="H11" s="19" t="str">
        <x:v>https://www.mouser.com/ProductDetail/Vishay-Semiconductors/BAT41-TAP</x:v>
      </x:c>
      <x:c r="I11" s="19" t="str">
        <x:v>DIRECT</x:v>
      </x:c>
      <x:c r="J11" s="19" t="str">
        <x:v>Candidate clamp; measure actual behavior</x:v>
      </x:c>
    </x:row>
    <x:row r="12">
      <x:c r="A12" s="19" t="str">
        <x:v>A</x:v>
      </x:c>
      <x:c r="B12" s="19" t="str">
        <x:v>BUY_NOW</x:v>
      </x:c>
      <x:c r="C12" s="19" t="str">
        <x:v>Mouser</x:v>
      </x:c>
      <x:c r="D12" s="19" t="str">
        <x:v>Switching diode</x:v>
      </x:c>
      <x:c r="E12" s="19" t="str">
        <x:v>1N4148-TAP THT</x:v>
      </x:c>
      <x:c r="F12" s="19" t="n">
        <x:v>20</x:v>
      </x:c>
      <x:c r="G12" s="22" t="n">
        <x:v>1.1</x:v>
      </x:c>
      <x:c r="H12" s="19" t="str">
        <x:v>https://www.mouser.com/c/?q=1N4148-TAP</x:v>
      </x:c>
      <x:c r="I12" s="19" t="str">
        <x:v>SEARCH / VERIFY</x:v>
      </x:c>
      <x:c r="J12" s="19" t="str">
        <x:v>General experiments</x:v>
      </x:c>
    </x:row>
    <x:row r="13">
      <x:c r="A13" s="19" t="str">
        <x:v>A</x:v>
      </x:c>
      <x:c r="B13" s="19" t="str">
        <x:v>BUY_NOW</x:v>
      </x:c>
      <x:c r="C13" s="19" t="str">
        <x:v>Mouser</x:v>
      </x:c>
      <x:c r="D13" s="19" t="str">
        <x:v>Decoupling capacitors</x:v>
      </x:c>
      <x:c r="E13" s="19" t="str">
        <x:v>100 nF X7R THT</x:v>
      </x:c>
      <x:c r="F13" s="19" t="n">
        <x:v>20</x:v>
      </x:c>
      <x:c r="G13" s="22" t="n">
        <x:v>3</x:v>
      </x:c>
      <x:c r="H13" s="19" t="str">
        <x:v>https://www.mouser.com/c/passive-components/capacitors/ceramic-capacitors/?capacitance=0.1%20uF&amp;termination%20style=Radial&amp;tolerance=10%20%25</x:v>
      </x:c>
      <x:c r="I13" s="19" t="str">
        <x:v>FILTER / VERIFY</x:v>
      </x:c>
      <x:c r="J13" s="19" t="str">
        <x:v>Place close to every IC</x:v>
      </x:c>
    </x:row>
    <x:row r="14">
      <x:c r="A14" s="19" t="str">
        <x:v>A</x:v>
      </x:c>
      <x:c r="B14" s="19" t="str">
        <x:v>BUY_NOW</x:v>
      </x:c>
      <x:c r="C14" s="19" t="str">
        <x:v>Mouser</x:v>
      </x:c>
      <x:c r="D14" s="19" t="str">
        <x:v>Precision filter capacitors</x:v>
      </x:c>
      <x:c r="E14" s="19" t="str">
        <x:v>10 nF; 100 nF; 1 uF; 5% or better; 5 each</x:v>
      </x:c>
      <x:c r="F14" s="19" t="n">
        <x:v>1</x:v>
      </x:c>
      <x:c r="G14" s="22" t="n">
        <x:v>10</x:v>
      </x:c>
      <x:c r="H14" s="19" t="str">
        <x:v>https://www.mouser.com/c/passive-components/capacitors/film-capacitors/?mounting%20style=Through%20Hole&amp;tolerance=5%20%25</x:v>
      </x:c>
      <x:c r="I14" s="19" t="str">
        <x:v>FILTER / VERIFY VALUES</x:v>
      </x:c>
      <x:c r="J14" s="19" t="str">
        <x:v>Do not replace with unknown-tolerance kit</x:v>
      </x:c>
    </x:row>
    <x:row r="15">
      <x:c r="A15" s="19" t="str">
        <x:v>A</x:v>
      </x:c>
      <x:c r="B15" s="19" t="str">
        <x:v>BUY_NOW</x:v>
      </x:c>
      <x:c r="C15" s="19" t="str">
        <x:v>Mouser</x:v>
      </x:c>
      <x:c r="D15" s="19" t="str">
        <x:v>Bulk electrolytic capacitors</x:v>
      </x:c>
      <x:c r="E15" s="19" t="str">
        <x:v>10 uF x10; 100 uF x5; rated &gt;=10 V</x:v>
      </x:c>
      <x:c r="F15" s="19" t="n">
        <x:v>1</x:v>
      </x:c>
      <x:c r="G15" s="22" t="n">
        <x:v>5</x:v>
      </x:c>
      <x:c r="H15" s="19" t="str">
        <x:v>https://www.mouser.com/c/passive-components/capacitors/aluminum-electrolytic-capacitors/?mounting%20style=Through%20Hole</x:v>
      </x:c>
      <x:c r="I15" s="19" t="str">
        <x:v>FILTER / VERIFY VALUES</x:v>
      </x:c>
      <x:c r="J15" s="19" t="str">
        <x:v>Observe polarity</x:v>
      </x:c>
    </x:row>
    <x:row r="16">
      <x:c r="A16" s="19" t="str">
        <x:v>A</x:v>
      </x:c>
      <x:c r="B16" s="19" t="str">
        <x:v>BUY_NOW</x:v>
      </x:c>
      <x:c r="C16" s="19" t="str">
        <x:v>Adafruit</x:v>
      </x:c>
      <x:c r="D16" s="19" t="str">
        <x:v>Diffused LED assortment</x:v>
      </x:c>
      <x:c r="E16" s="19" t="str">
        <x:v>Adafruit 4203; 25 pack</x:v>
      </x:c>
      <x:c r="F16" s="19" t="n">
        <x:v>1</x:v>
      </x:c>
      <x:c r="G16" s="22" t="n">
        <x:v>4.95</x:v>
      </x:c>
      <x:c r="H16" s="19" t="str">
        <x:v>https://www.adafruit.com/product/4203</x:v>
      </x:c>
      <x:c r="I16" s="19" t="str">
        <x:v>DIRECT / IN STOCK</x:v>
      </x:c>
      <x:c r="J16" s="19" t="str">
        <x:v>Use red and green with series resistors</x:v>
      </x:c>
    </x:row>
    <x:row r="17">
      <x:c r="A17" s="19" t="str">
        <x:v>A</x:v>
      </x:c>
      <x:c r="B17" s="19" t="str">
        <x:v>BUY_NOW</x:v>
      </x:c>
      <x:c r="C17" s="19" t="str">
        <x:v>Adafruit + Mouser</x:v>
      </x:c>
      <x:c r="D17" s="19" t="str">
        <x:v>Headers and shunts</x:v>
      </x:c>
      <x:c r="E17" s="19" t="str">
        <x:v>Adafruit 392 headers + 2.54 mm shorting shunts</x:v>
      </x:c>
      <x:c r="F17" s="19" t="n">
        <x:v>1</x:v>
      </x:c>
      <x:c r="G17" s="22" t="n">
        <x:v>5.95</x:v>
      </x:c>
      <x:c r="H17" s="19" t="str">
        <x:v>https://www.adafruit.com/product/392</x:v>
      </x:c>
      <x:c r="I17" s="19" t="str">
        <x:v>DIRECT + SEARCH SHUNTS</x:v>
      </x:c>
      <x:c r="J17" s="19" t="str">
        <x:v>Headers are for later soldered configuration</x:v>
      </x:c>
    </x:row>
    <x:row r="18">
      <x:c r="A18" s="19" t="str">
        <x:v>A</x:v>
      </x:c>
      <x:c r="B18" s="19" t="str">
        <x:v>BUY_NOW</x:v>
      </x:c>
      <x:c r="C18" s="19" t="str">
        <x:v>Mouser</x:v>
      </x:c>
      <x:c r="D18" s="19" t="str">
        <x:v>3.3 V LDO</x:v>
      </x:c>
      <x:c r="E18" s="19" t="str">
        <x:v>MCP1702-3302E/TO TO-92</x:v>
      </x:c>
      <x:c r="F18" s="19" t="n">
        <x:v>3</x:v>
      </x:c>
      <x:c r="G18" s="22" t="n">
        <x:v>1.95</x:v>
      </x:c>
      <x:c r="H18" s="19" t="str">
        <x:v>https://www.mouser.com/ProductDetail/Microchip-Technology/MCP1702-3302E-TO</x:v>
      </x:c>
      <x:c r="I18" s="19" t="str">
        <x:v>DIRECT</x:v>
      </x:c>
      <x:c r="J18" s="19" t="str">
        <x:v>Measure output; not a precision reference</x:v>
      </x:c>
    </x:row>
    <x:row r="19">
      <x:c r="A19" s="19" t="str">
        <x:v>A</x:v>
      </x:c>
      <x:c r="B19" s="19" t="str">
        <x:v>BUY_NOW</x:v>
      </x:c>
      <x:c r="C19" s="19" t="str">
        <x:v>Mouser</x:v>
      </x:c>
      <x:c r="D19" s="19" t="str">
        <x:v>Reverse-polarity Schottky</x:v>
      </x:c>
      <x:c r="E19" s="19" t="str">
        <x:v>Active THT 1N5817/1N5818/1N5819</x:v>
      </x:c>
      <x:c r="F19" s="19" t="n">
        <x:v>10</x:v>
      </x:c>
      <x:c r="G19" s="22" t="n">
        <x:v>1.9</x:v>
      </x:c>
      <x:c r="H19" s="19" t="str">
        <x:v>https://www.mouser.com/c/?q=1N5817%20through%20hole</x:v>
      </x:c>
      <x:c r="I19" s="19" t="str">
        <x:v>SEARCH / SELECT ACTIVE</x:v>
      </x:c>
      <x:c r="J19" s="19" t="str">
        <x:v>Confirm pin polarity before power-up</x:v>
      </x:c>
    </x:row>
    <x:row r="20">
      <x:c r="A20" s="19" t="str">
        <x:v>A</x:v>
      </x:c>
      <x:c r="B20" s="19" t="str">
        <x:v>BUY_NOW</x:v>
      </x:c>
      <x:c r="C20" s="19" t="str">
        <x:v>Mouser</x:v>
      </x:c>
      <x:c r="D20" s="19" t="str">
        <x:v>Resettable fuse</x:v>
      </x:c>
      <x:c r="E20" s="19" t="str">
        <x:v>Bourns MF-R025; 250 mA hold / 500 mA trip</x:v>
      </x:c>
      <x:c r="F20" s="19" t="n">
        <x:v>5</x:v>
      </x:c>
      <x:c r="G20" s="22" t="n">
        <x:v>2.95</x:v>
      </x:c>
      <x:c r="H20" s="19" t="str">
        <x:v>https://www.mouser.com/ProductDetail/Bourns/MF-R025</x:v>
      </x:c>
      <x:c r="I20" s="19" t="str">
        <x:v>DIRECT / IN STOCK</x:v>
      </x:c>
      <x:c r="J20" s="19" t="str">
        <x:v>Additional protection; not instantaneous</x:v>
      </x:c>
    </x:row>
    <x:row r="21">
      <x:c r="A21" s="19" t="str">
        <x:v>A</x:v>
      </x:c>
      <x:c r="B21" s="19" t="str">
        <x:v>BUY_NOW</x:v>
      </x:c>
      <x:c r="C21" s="19" t="str">
        <x:v>Adafruit</x:v>
      </x:c>
      <x:c r="D21" s="19" t="str">
        <x:v>5 V 2 A UL-listed supply</x:v>
      </x:c>
      <x:c r="E21" s="19" t="str">
        <x:v>Adafruit 276</x:v>
      </x:c>
      <x:c r="F21" s="19" t="n">
        <x:v>1</x:v>
      </x:c>
      <x:c r="G21" s="22" t="n">
        <x:v>7.95</x:v>
      </x:c>
      <x:c r="H21" s="19" t="str">
        <x:v>https://www.adafruit.com/product/276</x:v>
      </x:c>
      <x:c r="I21" s="19" t="str">
        <x:v>DIRECT</x:v>
      </x:c>
      <x:c r="J21" s="19" t="str">
        <x:v>Dedicated AFE input supply</x:v>
      </x:c>
    </x:row>
    <x:row r="22">
      <x:c r="A22" s="19" t="str">
        <x:v>A</x:v>
      </x:c>
      <x:c r="B22" s="19" t="str">
        <x:v>BUY_NOW</x:v>
      </x:c>
      <x:c r="C22" s="19" t="str">
        <x:v>Adafruit</x:v>
      </x:c>
      <x:c r="D22" s="19" t="str">
        <x:v>Breadboard barrel jack</x:v>
      </x:c>
      <x:c r="E22" s="19" t="str">
        <x:v>Adafruit 373; 2.1 mm</x:v>
      </x:c>
      <x:c r="F22" s="19" t="n">
        <x:v>1</x:v>
      </x:c>
      <x:c r="G22" s="22" t="n">
        <x:v>0.95</x:v>
      </x:c>
      <x:c r="H22" s="19" t="str">
        <x:v>https://www.adafruit.com/product/373</x:v>
      </x:c>
      <x:c r="I22" s="19" t="str">
        <x:v>DIRECT / IN STOCK</x:v>
      </x:c>
      <x:c r="J22" s="19" t="str">
        <x:v>Verify center positive and switched pin</x:v>
      </x:c>
    </x:row>
    <x:row r="23">
      <x:c r="A23" s="19" t="str">
        <x:v>A</x:v>
      </x:c>
      <x:c r="B23" s="19" t="str">
        <x:v>BUY_NOW</x:v>
      </x:c>
      <x:c r="C23" s="19" t="str">
        <x:v>Adafruit</x:v>
      </x:c>
      <x:c r="D23" s="19" t="str">
        <x:v>Full-size breadboard</x:v>
      </x:c>
      <x:c r="E23" s="19" t="str">
        <x:v>Adafruit 239</x:v>
      </x:c>
      <x:c r="F23" s="19" t="n">
        <x:v>1</x:v>
      </x:c>
      <x:c r="G23" s="22" t="n">
        <x:v>5.95</x:v>
      </x:c>
      <x:c r="H23" s="19" t="str">
        <x:v>https://www.adafruit.com/product/239</x:v>
      </x:c>
      <x:c r="I23" s="19" t="str">
        <x:v>DIRECT</x:v>
      </x:c>
      <x:c r="J23" s="19" t="str">
        <x:v>Dedicated AFE breadboard</x:v>
      </x:c>
    </x:row>
    <x:row r="24">
      <x:c r="A24" s="19" t="str">
        <x:v>A</x:v>
      </x:c>
      <x:c r="B24" s="19" t="str">
        <x:v>BUY_NOW</x:v>
      </x:c>
      <x:c r="C24" s="19" t="str">
        <x:v>Adafruit</x:v>
      </x:c>
      <x:c r="D24" s="19" t="str">
        <x:v>Male/male jumper wires</x:v>
      </x:c>
      <x:c r="E24" s="19" t="str">
        <x:v>Adafruit 1957</x:v>
      </x:c>
      <x:c r="F24" s="19" t="n">
        <x:v>1</x:v>
      </x:c>
      <x:c r="G24" s="22" t="n">
        <x:v>1.95</x:v>
      </x:c>
      <x:c r="H24" s="19" t="str">
        <x:v>https://www.adafruit.com/product/1957</x:v>
      </x:c>
      <x:c r="I24" s="19" t="str">
        <x:v>DIRECT</x:v>
      </x:c>
      <x:c r="J24" s="19" t="str">
        <x:v>Dedicated basic wiring</x:v>
      </x:c>
    </x:row>
    <x:row r="25">
      <x:c r="A25" s="19" t="str">
        <x:v>B</x:v>
      </x:c>
      <x:c r="B25" s="19" t="str">
        <x:v>BUY_NOW</x:v>
      </x:c>
      <x:c r="C25" s="19" t="str">
        <x:v>Adafruit</x:v>
      </x:c>
      <x:c r="D25" s="19" t="str">
        <x:v>16-bit ADC breakout</x:v>
      </x:c>
      <x:c r="E25" s="19" t="str">
        <x:v>Adafruit ADS1115 1085</x:v>
      </x:c>
      <x:c r="F25" s="19" t="n">
        <x:v>1</x:v>
      </x:c>
      <x:c r="G25" s="22" t="n">
        <x:v>14.95</x:v>
      </x:c>
      <x:c r="H25" s="19" t="str">
        <x:v>https://www.adafruit.com/product/1085</x:v>
      </x:c>
      <x:c r="I25" s="19" t="str">
        <x:v>DIRECT / IN STOCK</x:v>
      </x:c>
      <x:c r="J25" s="19" t="str">
        <x:v>Automation add-on; not required for analog operation</x:v>
      </x:c>
    </x:row>
    <x:row r="26">
      <x:c r="A26" s="19" t="str">
        <x:v>B</x:v>
      </x:c>
      <x:c r="B26" s="19" t="str">
        <x:v>BUY_NOW</x:v>
      </x:c>
      <x:c r="C26" s="19" t="str">
        <x:v>Adafruit</x:v>
      </x:c>
      <x:c r="D26" s="19" t="str">
        <x:v>QT-to-male-header cable</x:v>
      </x:c>
      <x:c r="E26" s="19" t="str">
        <x:v>Adafruit 4209</x:v>
      </x:c>
      <x:c r="F26" s="19" t="n">
        <x:v>1</x:v>
      </x:c>
      <x:c r="G26" s="22" t="n">
        <x:v>0.95</x:v>
      </x:c>
      <x:c r="H26" s="19" t="str">
        <x:v>https://www.adafruit.com/product/4209</x:v>
      </x:c>
      <x:c r="I26" s="19" t="str">
        <x:v>DIRECT</x:v>
      </x:c>
      <x:c r="J26" s="19" t="str">
        <x:v>Dedicated ADS1115 cable</x:v>
      </x:c>
    </x:row>
    <x:row r="27">
      <x:c r="A27" s="19" t="str">
        <x:v>B</x:v>
      </x:c>
      <x:c r="B27" s="19" t="str">
        <x:v>BUY_NOW</x:v>
      </x:c>
      <x:c r="C27" s="19" t="str">
        <x:v>Mouser</x:v>
      </x:c>
      <x:c r="D27" s="19" t="str">
        <x:v>NPN transistor</x:v>
      </x:c>
      <x:c r="E27" s="19" t="str">
        <x:v>2N3904 THT</x:v>
      </x:c>
      <x:c r="F27" s="19" t="n">
        <x:v>10</x:v>
      </x:c>
      <x:c r="G27" s="22" t="n">
        <x:v>1.5</x:v>
      </x:c>
      <x:c r="H27" s="19" t="str">
        <x:v>https://www.mouser.com/c/?q=2N3904%20through%20hole</x:v>
      </x:c>
      <x:c r="I27" s="19" t="str">
        <x:v>SEARCH / SELECT ACTIVE</x:v>
      </x:c>
      <x:c r="J27" s="19" t="str">
        <x:v>Low-voltage switching and fault injection</x:v>
      </x:c>
    </x:row>
    <x:row r="28">
      <x:c r="A28" s="19" t="str">
        <x:v>B</x:v>
      </x:c>
      <x:c r="B28" s="19" t="str">
        <x:v>BUY_NOW</x:v>
      </x:c>
      <x:c r="C28" s="19" t="str">
        <x:v>Mouser</x:v>
      </x:c>
      <x:c r="D28" s="19" t="str">
        <x:v>N-channel MOSFET</x:v>
      </x:c>
      <x:c r="E28" s="19" t="str">
        <x:v>2N7000-G THT</x:v>
      </x:c>
      <x:c r="F28" s="19" t="n">
        <x:v>5</x:v>
      </x:c>
      <x:c r="G28" s="22" t="n">
        <x:v>3</x:v>
      </x:c>
      <x:c r="H28" s="19" t="str">
        <x:v>https://www.mouser.com/ProductDetail/Microchip-Technology/2N7000-G</x:v>
      </x:c>
      <x:c r="I28" s="19" t="str">
        <x:v>DIRECT</x:v>
      </x:c>
      <x:c r="J28" s="19" t="str">
        <x:v>Low current only</x:v>
      </x:c>
    </x:row>
    <x:row r="29">
      <x:c r="A29" s="19" t="str">
        <x:v>C</x:v>
      </x:c>
      <x:c r="B29" s="19" t="str">
        <x:v>CONFIRM_TOOLCHAIN</x:v>
      </x:c>
      <x:c r="C29" s="19" t="str">
        <x:v>Mouser</x:v>
      </x:c>
      <x:c r="D29" s="19" t="str">
        <x:v>Reference controller</x:v>
      </x:c>
      <x:c r="E29" s="19" t="str">
        <x:v>NUCLEO-G474RE</x:v>
      </x:c>
      <x:c r="F29" s="19" t="n">
        <x:v>1</x:v>
      </x:c>
      <x:c r="G29" s="22" t="n">
        <x:v>20.13</x:v>
      </x:c>
      <x:c r="H29" s="19" t="str">
        <x:v>https://www.mouser.com/ProductDetail/STMicroelectronics/NUCLEO-G474RE</x:v>
      </x:c>
      <x:c r="I29" s="19" t="str">
        <x:v>DIRECT / VERIFY PRICE</x:v>
      </x:c>
      <x:c r="J29" s="19" t="str">
        <x:v>Buy only after STM32Cube acceptance</x:v>
      </x:c>
    </x:row>
    <x:row r="30">
      <x:c r="A30" s="19" t="str">
        <x:v>C</x:v>
      </x:c>
      <x:c r="B30" s="19" t="str">
        <x:v>CONFIRM_TOOLCHAIN</x:v>
      </x:c>
      <x:c r="C30" s="19" t="str">
        <x:v>Adafruit</x:v>
      </x:c>
      <x:c r="D30" s="19" t="str">
        <x:v>USB-A to Micro-B data cable</x:v>
      </x:c>
      <x:c r="E30" s="19" t="str">
        <x:v>Adafruit 592</x:v>
      </x:c>
      <x:c r="F30" s="19" t="n">
        <x:v>1</x:v>
      </x:c>
      <x:c r="G30" s="22" t="n">
        <x:v>2.95</x:v>
      </x:c>
      <x:c r="H30" s="19" t="str">
        <x:v>https://www.adafruit.com/product/592</x:v>
      </x:c>
      <x:c r="I30" s="19" t="str">
        <x:v>DIRECT / IN STOCK</x:v>
      </x:c>
      <x:c r="J30" s="19" t="str">
        <x:v>Must carry data</x:v>
      </x:c>
    </x:row>
    <x:row r="31">
      <x:c r="A31" s="19" t="str">
        <x:v>SHARED</x:v>
      </x:c>
      <x:c r="B31" s="19" t="str">
        <x:v>EXTERNAL_BUDGET</x:v>
      </x:c>
      <x:c r="C31" s="19" t="str">
        <x:v>Authorized retailer</x:v>
      </x:c>
      <x:c r="D31" s="19" t="str">
        <x:v>Digital multimeter</x:v>
      </x:c>
      <x:c r="E31" s="19" t="str">
        <x:v>Klein Tools MM420</x:v>
      </x:c>
      <x:c r="F31" s="19" t="n">
        <x:v>1</x:v>
      </x:c>
      <x:c r="G31" s="22"/>
      <x:c r="H31" s="19" t="str">
        <x:v>https://www.kleintools.com/catalog/multimeters/digital-multimeter-auto-ranging-600v-0</x:v>
      </x:c>
      <x:c r="I31" s="19" t="str">
        <x:v>OUTSIDE AFE BUDGET</x:v>
      </x:c>
      <x:c r="J31" s="19" t="str">
        <x:v>Not counted against USD 200</x:v>
      </x:c>
    </x:row>
    <x:row r="32">
      <x:c r="A32" s="19" t="str">
        <x:v>LATER</x:v>
      </x:c>
      <x:c r="B32" s="19" t="str">
        <x:v>HOLD</x:v>
      </x:c>
      <x:c r="C32" s="19" t="str">
        <x:v>EspoTek</x:v>
      </x:c>
      <x:c r="D32" s="19" t="str">
        <x:v>USB lab instrument</x:v>
      </x:c>
      <x:c r="E32" s="19" t="str">
        <x:v>EspoTek Labrador</x:v>
      </x:c>
      <x:c r="F32" s="19" t="n">
        <x:v>1</x:v>
      </x:c>
      <x:c r="G32" s="22" t="n">
        <x:v>29</x:v>
      </x:c>
      <x:c r="H32" s="19" t="str">
        <x:v>https://espotek.com/labrador/</x:v>
      </x:c>
      <x:c r="I32" s="19" t="str">
        <x:v>HOLD</x:v>
      </x:c>
      <x:c r="J32" s="19" t="str">
        <x:v>Wait for Windows and OSU decision</x:v>
      </x:c>
    </x:row>
    <x:row r="33">
      <x:c r="A33" s="20" t="str">
        <x:v>LATER</x:v>
      </x:c>
      <x:c r="B33" s="20" t="str">
        <x:v>HOLD</x:v>
      </x:c>
      <x:c r="C33" s="20" t="str">
        <x:v>Adafruit</x:v>
      </x:c>
      <x:c r="D33" s="20" t="str">
        <x:v>Permanent protoboard</x:v>
      </x:c>
      <x:c r="E33" s="20" t="str">
        <x:v>Adafruit 1606</x:v>
      </x:c>
      <x:c r="F33" s="20" t="n">
        <x:v>1</x:v>
      </x:c>
      <x:c r="G33" s="23" t="n">
        <x:v>10.95</x:v>
      </x:c>
      <x:c r="H33" s="20" t="str">
        <x:v>https://www.adafruit.com/product/1606</x:v>
      </x:c>
      <x:c r="I33" s="20" t="str">
        <x:v>HOLD</x:v>
      </x:c>
      <x:c r="J33" s="20" t="str">
        <x:v>Buy after breadboard passes</x:v>
      </x:c>
    </x:row>
  </x:sheetData>
  <x:mergeCells>
    <x:mergeCell ref="A1:J1"/>
    <x:mergeCell ref="A2:J2"/>
  </x:mergeCells>
  <x:conditionalFormatting sqref="B5:B33">
    <x:cfRule type="containsText" dxfId="0" priority="1" operator="containsText" text="BUY_NOW"/>
    <x:cfRule type="containsText" dxfId="1" priority="2" operator="containsText" text="CONFIRM"/>
    <x:cfRule type="containsText" dxfId="2" priority="3" operator="containsText" text="HOLD"/>
  </x:conditionalFormatting>
  <x:dataValidations count="1">
    <x:dataValidation type="list" sqref="B5:B33">
      <x:formula1>"BUY_NOW,CONFIRM_TOOLCHAIN,EXTERNAL_BUDGET,HOLD"</x:formula1>
    </x:dataValidation>
  </x:dataValidations>
  <x:pageMargins left="0.7" right="0.7" top="0.75" bottom="0.75" header="0.3" footer="0.3"/>
</x:worksheet>
</file>